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J-QA-01\Downloads\"/>
    </mc:Choice>
  </mc:AlternateContent>
  <bookViews>
    <workbookView xWindow="0" yWindow="0" windowWidth="28710" windowHeight="13050" tabRatio="714"/>
  </bookViews>
  <sheets>
    <sheet name="COA" sheetId="1" r:id="rId1"/>
  </sheets>
  <definedNames>
    <definedName name="_xlnm.Print_Area" localSheetId="0">COA!$A$1:W28</definedName>
  </definedNames>
  <calcPr calcId="152511"/>
</workbook>
</file>

<file path=xl/calcChain.xml><?xml version="1.0" encoding="utf-8"?>
<calcChain xmlns="http://schemas.openxmlformats.org/spreadsheetml/2006/main">
  <c r="I10" i="1" l="1"/>
  <c r="I11" i="1"/>
  <c r="I12" i="1"/>
  <c r="I13" i="1"/>
  <c r="I24" i="1" l="1"/>
  <c r="I23" i="1"/>
  <c r="I22" i="1"/>
  <c r="I21" i="1"/>
  <c r="I20" i="1"/>
  <c r="I19" i="1"/>
  <c r="I18" i="1"/>
  <c r="I17" i="1"/>
  <c r="I16" i="1"/>
  <c r="I15" i="1"/>
  <c r="I14" i="1"/>
</calcChain>
</file>

<file path=xl/sharedStrings.xml><?xml version="1.0" encoding="utf-8"?>
<sst xmlns="http://schemas.openxmlformats.org/spreadsheetml/2006/main" count="43" uniqueCount="41">
  <si>
    <t>珠海腾佳印务有限公司</t>
  </si>
  <si>
    <t>出货检验报告</t>
  </si>
  <si>
    <t>抽样规则：</t>
  </si>
  <si>
    <t>依据GT2828.1-2012标准中的一般检验水平Ⅱ正常检验一次抽样方案执行</t>
  </si>
  <si>
    <t>AQL</t>
  </si>
  <si>
    <t>外观</t>
  </si>
  <si>
    <t>颜色</t>
  </si>
  <si>
    <t>尺寸/性能</t>
  </si>
  <si>
    <t>检验依据：</t>
  </si>
  <si>
    <t>参考客户文件、标准签样、《WI-PZ-02 半成品、成品检验作业指导书》</t>
  </si>
  <si>
    <t>4.0</t>
  </si>
  <si>
    <t>1.5</t>
  </si>
  <si>
    <t>1.0</t>
  </si>
  <si>
    <t>序号</t>
  </si>
  <si>
    <t>出货数量</t>
  </si>
  <si>
    <t>首件核对</t>
  </si>
  <si>
    <t>工单核对</t>
  </si>
  <si>
    <t>图纸核对</t>
  </si>
  <si>
    <t>实测尺寸</t>
  </si>
  <si>
    <t>结果判定</t>
  </si>
  <si>
    <t>图文</t>
  </si>
  <si>
    <t>字体</t>
  </si>
  <si>
    <t>啤切线</t>
  </si>
  <si>
    <t>物料编号</t>
  </si>
  <si>
    <t>模切方式</t>
  </si>
  <si>
    <t>包装方式</t>
  </si>
  <si>
    <t>材质</t>
  </si>
  <si>
    <t>印刷内容</t>
  </si>
  <si>
    <t>规格尺寸</t>
  </si>
  <si>
    <r>
      <rPr>
        <b/>
        <sz val="11"/>
        <rFont val="微软雅黑"/>
        <family val="2"/>
        <charset val="134"/>
      </rPr>
      <t xml:space="preserve">   性能测试说明</t>
    </r>
    <r>
      <rPr>
        <sz val="11"/>
        <rFont val="微软雅黑"/>
        <family val="2"/>
        <charset val="134"/>
      </rPr>
      <t>：粘性、高低温等，根据需求，材料回厂时已检测OK</t>
    </r>
  </si>
  <si>
    <t>检验结论：</t>
  </si>
  <si>
    <t>检验人员：</t>
  </si>
  <si>
    <t>检验日期：</t>
  </si>
  <si>
    <t>审核人员：</t>
  </si>
  <si>
    <t>审核日期：</t>
  </si>
  <si>
    <t>珠海市斗门区白蕉镇大托村刘家环工业区水厂路1号（厂房3）</t>
  </si>
  <si>
    <t>物料编号</t>
    <phoneticPr fontId="29" type="noConversion"/>
  </si>
  <si>
    <t>物料名称</t>
    <phoneticPr fontId="29" type="noConversion"/>
  </si>
  <si>
    <t>致：珠海市金品创业共享平台科技有限公司</t>
    <phoneticPr fontId="29" type="noConversion"/>
  </si>
  <si>
    <t>抽检数量</t>
    <phoneticPr fontId="29" type="noConversion"/>
  </si>
  <si>
    <t>合格（ √ ）     不合格（       ）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</si>
</sst>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4"/>
      <name val="宋体"/>
      <charset val="134"/>
    </font>
    <font>
      <sz val="10"/>
      <name val="Arial"/>
      <family val="2"/>
    </font>
    <font>
      <sz val="14"/>
      <name val="Arial"/>
      <family val="2"/>
    </font>
    <font>
      <sz val="12"/>
      <name val="宋体"/>
      <family val="3"/>
      <charset val="134"/>
    </font>
    <font>
      <b/>
      <sz val="22"/>
      <name val="Arial"/>
      <family val="2"/>
    </font>
    <font>
      <b/>
      <sz val="12"/>
      <name val="宋体"/>
      <family val="3"/>
      <charset val="134"/>
    </font>
    <font>
      <sz val="11"/>
      <name val="微软雅黑"/>
      <family val="2"/>
      <charset val="134"/>
    </font>
    <font>
      <sz val="12"/>
      <name val="Arial Unicode MS"/>
      <family val="2"/>
      <charset val="134"/>
    </font>
    <font>
      <sz val="11"/>
      <name val="宋体"/>
      <family val="3"/>
      <charset val="134"/>
    </font>
    <font>
      <b/>
      <sz val="12"/>
      <name val="Arial"/>
      <family val="2"/>
    </font>
    <font>
      <b/>
      <sz val="15"/>
      <color indexed="57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7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7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7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16"/>
      <name val="宋体"/>
      <family val="3"/>
      <charset val="134"/>
    </font>
    <font>
      <b/>
      <sz val="11"/>
      <name val="微软雅黑"/>
      <family val="2"/>
      <charset val="134"/>
    </font>
    <font>
      <sz val="14"/>
      <name val="宋体"/>
      <family val="3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2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45">
    <xf numFmtId="0" fontId="0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8" fillId="5" borderId="3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36" applyNumberFormat="0" applyFill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4" fillId="0" borderId="3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6" borderId="39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13" borderId="42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3" fillId="13" borderId="39" applyNumberFormat="0" applyAlignment="0" applyProtection="0">
      <alignment vertical="center"/>
    </xf>
    <xf numFmtId="0" fontId="19" fillId="11" borderId="41" applyNumberFormat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2" fillId="0" borderId="4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</cellStyleXfs>
  <cellXfs count="96">
    <xf numFmtId="0" fontId="0" fillId="0" borderId="0" xfId="0" applyAlignment="1"/>
    <xf numFmtId="0" fontId="0" fillId="0" borderId="0" xfId="0" applyNumberFormat="1" applyAlignment="1" applyProtection="1">
      <alignment vertical="center"/>
      <protection locked="0"/>
    </xf>
    <xf numFmtId="0" fontId="0" fillId="0" borderId="0" xfId="0" applyNumberFormat="1" applyBorder="1" applyAlignment="1" applyProtection="1">
      <alignment vertical="center"/>
      <protection locked="0"/>
    </xf>
    <xf numFmtId="0" fontId="1" fillId="0" borderId="0" xfId="0" applyNumberFormat="1" applyFont="1" applyAlignment="1" applyProtection="1">
      <alignment vertical="center"/>
      <protection locked="0"/>
    </xf>
    <xf numFmtId="0" fontId="1" fillId="0" borderId="0" xfId="0" applyNumberFormat="1" applyFont="1" applyAlignment="1" applyProtection="1">
      <alignment vertical="center" wrapText="1"/>
      <protection locked="0"/>
    </xf>
    <xf numFmtId="0" fontId="2" fillId="0" borderId="0" xfId="0" applyNumberFormat="1" applyFont="1" applyAlignment="1" applyProtection="1">
      <alignment vertical="center"/>
      <protection locked="0"/>
    </xf>
    <xf numFmtId="0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protection locked="0"/>
    </xf>
    <xf numFmtId="0" fontId="2" fillId="0" borderId="9" xfId="0" applyNumberFormat="1" applyFont="1" applyBorder="1" applyAlignment="1" applyProtection="1">
      <alignment vertical="center"/>
      <protection locked="0"/>
    </xf>
    <xf numFmtId="0" fontId="5" fillId="0" borderId="0" xfId="0" applyNumberFormat="1" applyFont="1" applyBorder="1" applyAlignment="1" applyProtection="1">
      <alignment vertical="center"/>
    </xf>
    <xf numFmtId="0" fontId="5" fillId="0" borderId="0" xfId="0" applyNumberFormat="1" applyFont="1" applyBorder="1" applyAlignment="1" applyProtection="1">
      <alignment horizontal="left" vertical="center"/>
    </xf>
    <xf numFmtId="0" fontId="6" fillId="0" borderId="0" xfId="0" applyNumberFormat="1" applyFont="1" applyBorder="1" applyAlignment="1" applyProtection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</xf>
    <xf numFmtId="0" fontId="6" fillId="0" borderId="9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left" vertical="center"/>
    </xf>
    <xf numFmtId="0" fontId="7" fillId="0" borderId="5" xfId="0" applyNumberFormat="1" applyFont="1" applyFill="1" applyBorder="1" applyAlignment="1" applyProtection="1">
      <alignment horizontal="center" vertical="center" wrapText="1"/>
    </xf>
    <xf numFmtId="0" fontId="0" fillId="0" borderId="32" xfId="0" applyNumberFormat="1" applyBorder="1" applyAlignment="1" applyProtection="1">
      <alignment vertical="center"/>
      <protection locked="0"/>
    </xf>
    <xf numFmtId="0" fontId="6" fillId="0" borderId="0" xfId="0" applyNumberFormat="1" applyFont="1" applyBorder="1" applyAlignment="1" applyProtection="1">
      <alignment vertical="center"/>
    </xf>
    <xf numFmtId="0" fontId="6" fillId="0" borderId="7" xfId="0" applyNumberFormat="1" applyFont="1" applyBorder="1" applyAlignment="1" applyProtection="1">
      <alignment horizontal="center" vertical="center"/>
    </xf>
    <xf numFmtId="0" fontId="6" fillId="0" borderId="32" xfId="0" applyNumberFormat="1" applyFont="1" applyBorder="1" applyAlignment="1" applyProtection="1">
      <alignment horizontal="center" vertical="center"/>
    </xf>
    <xf numFmtId="49" fontId="6" fillId="0" borderId="6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32" xfId="0" applyNumberFormat="1" applyFont="1" applyBorder="1" applyAlignment="1" applyProtection="1">
      <alignment horizontal="center" vertical="center"/>
    </xf>
    <xf numFmtId="0" fontId="2" fillId="0" borderId="0" xfId="0" applyNumberFormat="1" applyFont="1" applyBorder="1" applyAlignment="1" applyProtection="1">
      <alignment vertical="center"/>
      <protection locked="0"/>
    </xf>
    <xf numFmtId="0" fontId="6" fillId="0" borderId="32" xfId="0" applyNumberFormat="1" applyFont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vertical="center" wrapText="1"/>
      <protection locked="0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8" fillId="0" borderId="29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Border="1" applyAlignment="1" applyProtection="1">
      <alignment horizontal="center" vertical="center"/>
    </xf>
    <xf numFmtId="0" fontId="3" fillId="0" borderId="2" xfId="0" applyNumberFormat="1" applyFont="1" applyBorder="1" applyAlignment="1" applyProtection="1">
      <alignment horizontal="center" vertical="center"/>
    </xf>
    <xf numFmtId="0" fontId="3" fillId="0" borderId="5" xfId="0" applyNumberFormat="1" applyFont="1" applyBorder="1" applyAlignment="1" applyProtection="1">
      <alignment horizontal="center" vertical="center"/>
    </xf>
    <xf numFmtId="0" fontId="3" fillId="0" borderId="6" xfId="0" applyNumberFormat="1" applyFont="1" applyBorder="1" applyAlignment="1" applyProtection="1">
      <alignment horizontal="center" vertical="center"/>
    </xf>
    <xf numFmtId="0" fontId="5" fillId="0" borderId="9" xfId="0" applyNumberFormat="1" applyFont="1" applyBorder="1" applyAlignment="1" applyProtection="1">
      <alignment horizontal="left" vertical="center"/>
    </xf>
    <xf numFmtId="0" fontId="5" fillId="0" borderId="0" xfId="0" applyNumberFormat="1" applyFont="1" applyBorder="1" applyAlignment="1" applyProtection="1">
      <alignment horizontal="left" vertical="center"/>
    </xf>
    <xf numFmtId="0" fontId="5" fillId="0" borderId="10" xfId="0" applyNumberFormat="1" applyFont="1" applyBorder="1" applyAlignment="1" applyProtection="1">
      <alignment horizontal="left" vertical="center"/>
    </xf>
    <xf numFmtId="0" fontId="5" fillId="0" borderId="15" xfId="0" applyNumberFormat="1" applyFont="1" applyFill="1" applyBorder="1" applyAlignment="1" applyProtection="1">
      <alignment horizontal="center" vertical="center"/>
    </xf>
    <xf numFmtId="0" fontId="5" fillId="0" borderId="18" xfId="0" applyNumberFormat="1" applyFont="1" applyFill="1" applyBorder="1" applyAlignment="1" applyProtection="1">
      <alignment horizontal="center" vertical="center"/>
    </xf>
    <xf numFmtId="0" fontId="5" fillId="0" borderId="23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17" xfId="0" applyNumberFormat="1" applyFont="1" applyFill="1" applyBorder="1" applyAlignment="1" applyProtection="1">
      <alignment horizontal="center" vertical="center"/>
    </xf>
    <xf numFmtId="0" fontId="5" fillId="0" borderId="10" xfId="0" applyNumberFormat="1" applyFont="1" applyFill="1" applyBorder="1" applyAlignment="1" applyProtection="1">
      <alignment horizontal="center" vertical="center"/>
    </xf>
    <xf numFmtId="0" fontId="5" fillId="0" borderId="20" xfId="0" applyNumberFormat="1" applyFont="1" applyFill="1" applyBorder="1" applyAlignment="1" applyProtection="1">
      <alignment horizontal="center" vertical="center"/>
    </xf>
    <xf numFmtId="0" fontId="5" fillId="0" borderId="21" xfId="0" applyNumberFormat="1" applyFont="1" applyFill="1" applyBorder="1" applyAlignment="1" applyProtection="1">
      <alignment horizontal="center" vertical="center"/>
    </xf>
    <xf numFmtId="0" fontId="5" fillId="0" borderId="33" xfId="0" applyNumberFormat="1" applyFont="1" applyFill="1" applyBorder="1" applyAlignment="1" applyProtection="1">
      <alignment horizontal="center" vertical="center"/>
    </xf>
    <xf numFmtId="0" fontId="5" fillId="0" borderId="32" xfId="0" applyNumberFormat="1" applyFont="1" applyFill="1" applyBorder="1" applyAlignment="1" applyProtection="1">
      <alignment horizontal="center" vertical="center"/>
    </xf>
    <xf numFmtId="0" fontId="5" fillId="0" borderId="34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5" fillId="0" borderId="29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0" fontId="8" fillId="0" borderId="23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16" xfId="0" applyNumberFormat="1" applyFont="1" applyFill="1" applyBorder="1" applyAlignment="1" applyProtection="1">
      <alignment horizontal="center" vertical="center"/>
    </xf>
    <xf numFmtId="0" fontId="5" fillId="0" borderId="19" xfId="0" applyNumberFormat="1" applyFont="1" applyFill="1" applyBorder="1" applyAlignment="1" applyProtection="1">
      <alignment horizontal="center" vertical="center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left" vertical="center" wrapText="1"/>
    </xf>
    <xf numFmtId="0" fontId="6" fillId="0" borderId="8" xfId="0" applyNumberFormat="1" applyFont="1" applyFill="1" applyBorder="1" applyAlignment="1" applyProtection="1">
      <alignment horizontal="left" vertical="center" wrapText="1"/>
    </xf>
    <xf numFmtId="0" fontId="6" fillId="0" borderId="31" xfId="0" applyNumberFormat="1" applyFont="1" applyFill="1" applyBorder="1" applyAlignment="1" applyProtection="1">
      <alignment horizontal="left" vertical="center" wrapText="1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9" fillId="0" borderId="29" xfId="0" applyNumberFormat="1" applyFont="1" applyFill="1" applyBorder="1" applyAlignment="1" applyProtection="1">
      <alignment horizontal="center" vertical="center"/>
    </xf>
    <xf numFmtId="14" fontId="30" fillId="0" borderId="7" xfId="0" applyNumberFormat="1" applyFont="1" applyFill="1" applyBorder="1" applyAlignment="1" applyProtection="1">
      <alignment horizontal="left" vertical="center"/>
    </xf>
    <xf numFmtId="0" fontId="30" fillId="0" borderId="8" xfId="0" applyNumberFormat="1" applyFont="1" applyFill="1" applyBorder="1" applyAlignment="1" applyProtection="1">
      <alignment horizontal="left" vertical="center"/>
    </xf>
    <xf numFmtId="0" fontId="30" fillId="0" borderId="31" xfId="0" applyNumberFormat="1" applyFont="1" applyFill="1" applyBorder="1" applyAlignment="1" applyProtection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31" xfId="0" applyNumberFormat="1" applyFont="1" applyFill="1" applyBorder="1" applyAlignment="1" applyProtection="1">
      <alignment horizontal="center" vertical="center" wrapText="1"/>
    </xf>
    <xf numFmtId="0" fontId="30" fillId="0" borderId="7" xfId="0" applyNumberFormat="1" applyFont="1" applyFill="1" applyBorder="1" applyAlignment="1" applyProtection="1">
      <alignment horizontal="left" vertical="center"/>
    </xf>
    <xf numFmtId="0" fontId="0" fillId="3" borderId="27" xfId="0" applyNumberFormat="1" applyFont="1" applyFill="1" applyBorder="1" applyAlignment="1" applyProtection="1">
      <alignment horizontal="center" vertical="center"/>
    </xf>
    <xf numFmtId="0" fontId="0" fillId="3" borderId="28" xfId="0" applyNumberFormat="1" applyFont="1" applyFill="1" applyBorder="1" applyAlignment="1" applyProtection="1">
      <alignment horizontal="center" vertical="center"/>
    </xf>
    <xf numFmtId="0" fontId="0" fillId="3" borderId="35" xfId="0" applyNumberFormat="1" applyFont="1" applyFill="1" applyBorder="1" applyAlignment="1" applyProtection="1">
      <alignment horizontal="center" vertical="center"/>
    </xf>
    <xf numFmtId="0" fontId="5" fillId="0" borderId="25" xfId="0" applyNumberFormat="1" applyFont="1" applyFill="1" applyBorder="1" applyAlignment="1" applyProtection="1">
      <alignment horizontal="center" vertical="center"/>
    </xf>
    <xf numFmtId="0" fontId="5" fillId="0" borderId="26" xfId="0" applyNumberFormat="1" applyFont="1" applyFill="1" applyBorder="1" applyAlignment="1" applyProtection="1">
      <alignment horizontal="center" vertical="center"/>
    </xf>
    <xf numFmtId="0" fontId="0" fillId="2" borderId="3" xfId="0" applyNumberFormat="1" applyFont="1" applyFill="1" applyBorder="1" applyAlignment="1" applyProtection="1">
      <alignment horizontal="center" vertical="center"/>
    </xf>
    <xf numFmtId="0" fontId="0" fillId="2" borderId="4" xfId="0" applyNumberFormat="1" applyFont="1" applyFill="1" applyBorder="1" applyAlignment="1" applyProtection="1">
      <alignment horizontal="center" vertical="center"/>
    </xf>
    <xf numFmtId="0" fontId="0" fillId="2" borderId="30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3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Border="1" applyAlignment="1" applyProtection="1">
      <alignment horizontal="left" vertical="center"/>
    </xf>
    <xf numFmtId="0" fontId="6" fillId="0" borderId="6" xfId="0" applyNumberFormat="1" applyFont="1" applyBorder="1" applyAlignment="1" applyProtection="1">
      <alignment vertical="center"/>
    </xf>
    <xf numFmtId="0" fontId="6" fillId="0" borderId="6" xfId="0" applyNumberFormat="1" applyFont="1" applyBorder="1" applyAlignment="1" applyProtection="1">
      <alignment horizontal="center" vertical="center"/>
    </xf>
  </cellXfs>
  <cellStyles count="45">
    <cellStyle name="20% - 强调文字颜色 1" xfId="28"/>
    <cellStyle name="20% - 强调文字颜色 2" xfId="30"/>
    <cellStyle name="20% - 强调文字颜色 3" xfId="13"/>
    <cellStyle name="20% - 强调文字颜色 4" xfId="34"/>
    <cellStyle name="20% - 强调文字颜色 5" xfId="27"/>
    <cellStyle name="20% - 强调文字颜色 6" xfId="20"/>
    <cellStyle name="40% - 强调文字颜色 1" xfId="29"/>
    <cellStyle name="40% - 强调文字颜色 2" xfId="31"/>
    <cellStyle name="40% - 强调文字颜色 3" xfId="24"/>
    <cellStyle name="40% - 强调文字颜色 4" xfId="35"/>
    <cellStyle name="40% - 强调文字颜色 5" xfId="38"/>
    <cellStyle name="40% - 强调文字颜色 6" xfId="41"/>
    <cellStyle name="60% - 强调文字颜色 1" xfId="11"/>
    <cellStyle name="60% - 强调文字颜色 2" xfId="6"/>
    <cellStyle name="60% - 强调文字颜色 3" xfId="33"/>
    <cellStyle name="60% - 强调文字颜色 4" xfId="15"/>
    <cellStyle name="60% - 强调文字颜色 5" xfId="39"/>
    <cellStyle name="60% - 强调文字颜色 6" xfId="42"/>
    <cellStyle name="Normal 2" xfId="36"/>
    <cellStyle name="标题" xfId="2"/>
    <cellStyle name="标题 1" xfId="8"/>
    <cellStyle name="标题 2" xfId="9"/>
    <cellStyle name="标题 3" xfId="10"/>
    <cellStyle name="标题 4" xfId="5"/>
    <cellStyle name="差" xfId="23"/>
    <cellStyle name="常规" xfId="0" builtinId="0"/>
    <cellStyle name="常规 2" xfId="43"/>
    <cellStyle name="常规 3" xfId="44"/>
    <cellStyle name="好" xfId="22"/>
    <cellStyle name="汇总" xfId="21"/>
    <cellStyle name="计算" xfId="16"/>
    <cellStyle name="检查单元格" xfId="17"/>
    <cellStyle name="解释性文本" xfId="7"/>
    <cellStyle name="警告文本" xfId="4"/>
    <cellStyle name="链接单元格" xfId="18"/>
    <cellStyle name="强调文字颜色 1" xfId="26"/>
    <cellStyle name="强调文字颜色 2" xfId="19"/>
    <cellStyle name="强调文字颜色 3" xfId="32"/>
    <cellStyle name="强调文字颜色 4" xfId="1"/>
    <cellStyle name="强调文字颜色 5" xfId="37"/>
    <cellStyle name="强调文字颜色 6" xfId="40"/>
    <cellStyle name="适中" xfId="25"/>
    <cellStyle name="输出" xfId="14"/>
    <cellStyle name="输入" xfId="12"/>
    <cellStyle name="注释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57150</xdr:rowOff>
    </xdr:from>
    <xdr:to>
      <xdr:col>1</xdr:col>
      <xdr:colOff>476250</xdr:colOff>
      <xdr:row>1</xdr:row>
      <xdr:rowOff>542925</xdr:rowOff>
    </xdr:to>
    <xdr:pic>
      <xdr:nvPicPr>
        <xdr:cNvPr id="2048" name="图片 2" descr="腾佳Logo-200x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8382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C28"/>
  <sheetViews>
    <sheetView showGridLines="0" tabSelected="1" topLeftCell="A4" zoomScale="85" zoomScaleNormal="85" workbookViewId="0">
      <selection activeCell="U10" sqref="U10"/>
    </sheetView>
  </sheetViews>
  <sheetFormatPr defaultColWidth="8.796875" defaultRowHeight="24.75" customHeight="1" x14ac:dyDescent="0.25"/>
  <cols>
    <col min="1" max="1" width="5" style="5" customWidth="1"/>
    <col min="2" max="3" width="7.59765625" style="5" customWidth="1"/>
    <col min="4" max="4" width="6.19921875" style="6" customWidth="1"/>
    <col min="5" max="5" width="8.296875" style="6" customWidth="1"/>
    <col min="6" max="6" width="9.59765625" style="6" customWidth="1"/>
    <col min="7" max="7" width="6.19921875" style="6" customWidth="1"/>
    <col min="8" max="8" width="9.296875" style="6" customWidth="1"/>
    <col min="9" max="9" width="5.09765625" style="6" customWidth="1"/>
    <col min="10" max="19" width="4.5" style="6" customWidth="1"/>
    <col min="20" max="21" width="12.69921875" style="6" customWidth="1"/>
    <col min="22" max="22" width="9.59765625" style="6" customWidth="1"/>
    <col min="23" max="23" width="2.3984375" style="6" customWidth="1"/>
    <col min="24" max="263" width="8.796875" style="5"/>
    <col min="264" max="16384" width="8.796875" style="7"/>
  </cols>
  <sheetData>
    <row r="1" spans="1:263" s="1" customFormat="1" ht="23.25" customHeight="1" x14ac:dyDescent="0.25">
      <c r="A1" s="31"/>
      <c r="B1" s="32"/>
      <c r="C1" s="87" t="s">
        <v>0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9"/>
    </row>
    <row r="2" spans="1:263" s="1" customFormat="1" ht="47.25" customHeight="1" x14ac:dyDescent="0.25">
      <c r="A2" s="33"/>
      <c r="B2" s="34"/>
      <c r="C2" s="90" t="s">
        <v>1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2"/>
    </row>
    <row r="3" spans="1:263" s="1" customFormat="1" ht="13.5" customHeight="1" x14ac:dyDescent="0.25">
      <c r="A3" s="8"/>
      <c r="B3" s="9"/>
      <c r="C3" s="9"/>
      <c r="D3" s="9"/>
      <c r="E3" s="9"/>
      <c r="F3" s="10"/>
      <c r="G3" s="10"/>
      <c r="H3" s="11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2"/>
      <c r="U3" s="2"/>
      <c r="V3" s="2"/>
      <c r="W3" s="16"/>
    </row>
    <row r="4" spans="1:263" s="1" customFormat="1" ht="17.25" customHeight="1" x14ac:dyDescent="0.25">
      <c r="A4" s="35" t="s">
        <v>38</v>
      </c>
      <c r="B4" s="36"/>
      <c r="C4" s="36"/>
      <c r="D4" s="36"/>
      <c r="E4" s="37"/>
      <c r="F4" s="12" t="s">
        <v>2</v>
      </c>
      <c r="G4" s="94" t="s">
        <v>3</v>
      </c>
      <c r="H4" s="94"/>
      <c r="I4" s="94"/>
      <c r="J4" s="94"/>
      <c r="K4" s="94"/>
      <c r="L4" s="94"/>
      <c r="M4" s="94"/>
      <c r="N4" s="94"/>
      <c r="O4" s="94"/>
      <c r="P4" s="94"/>
      <c r="Q4" s="17"/>
      <c r="R4" s="95" t="s">
        <v>4</v>
      </c>
      <c r="S4" s="95"/>
      <c r="T4" s="12" t="s">
        <v>5</v>
      </c>
      <c r="U4" s="18" t="s">
        <v>6</v>
      </c>
      <c r="V4" s="12" t="s">
        <v>7</v>
      </c>
      <c r="W4" s="19"/>
    </row>
    <row r="5" spans="1:263" s="2" customFormat="1" ht="17.25" customHeight="1" x14ac:dyDescent="0.25">
      <c r="A5" s="35"/>
      <c r="B5" s="36"/>
      <c r="C5" s="36"/>
      <c r="D5" s="36"/>
      <c r="E5" s="37"/>
      <c r="F5" s="12" t="s">
        <v>8</v>
      </c>
      <c r="G5" s="94" t="s">
        <v>9</v>
      </c>
      <c r="H5" s="94"/>
      <c r="I5" s="94"/>
      <c r="J5" s="94"/>
      <c r="K5" s="94"/>
      <c r="L5" s="94"/>
      <c r="M5" s="94"/>
      <c r="N5" s="94"/>
      <c r="O5" s="94"/>
      <c r="P5" s="94"/>
      <c r="Q5" s="17"/>
      <c r="R5" s="95"/>
      <c r="S5" s="95"/>
      <c r="T5" s="20" t="s">
        <v>10</v>
      </c>
      <c r="U5" s="21" t="s">
        <v>11</v>
      </c>
      <c r="V5" s="20" t="s">
        <v>12</v>
      </c>
      <c r="W5" s="22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</row>
    <row r="6" spans="1:263" s="2" customFormat="1" ht="9.75" customHeight="1" x14ac:dyDescent="0.25">
      <c r="A6" s="13"/>
      <c r="B6" s="11"/>
      <c r="C6" s="14"/>
      <c r="D6" s="14"/>
      <c r="E6" s="14"/>
      <c r="F6" s="14"/>
      <c r="G6" s="14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4"/>
      <c r="U6" s="14"/>
      <c r="V6" s="14"/>
      <c r="W6" s="24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</row>
    <row r="7" spans="1:263" s="3" customFormat="1" ht="24.75" customHeight="1" x14ac:dyDescent="0.25">
      <c r="A7" s="61" t="s">
        <v>13</v>
      </c>
      <c r="B7" s="41" t="s">
        <v>36</v>
      </c>
      <c r="C7" s="42"/>
      <c r="D7" s="41" t="s">
        <v>37</v>
      </c>
      <c r="E7" s="50"/>
      <c r="F7" s="50"/>
      <c r="G7" s="42"/>
      <c r="H7" s="38" t="s">
        <v>14</v>
      </c>
      <c r="I7" s="64" t="s">
        <v>39</v>
      </c>
      <c r="J7" s="57" t="s">
        <v>15</v>
      </c>
      <c r="K7" s="58"/>
      <c r="L7" s="58"/>
      <c r="M7" s="58"/>
      <c r="N7" s="58"/>
      <c r="O7" s="58" t="s">
        <v>16</v>
      </c>
      <c r="P7" s="58"/>
      <c r="Q7" s="58"/>
      <c r="R7" s="58" t="s">
        <v>17</v>
      </c>
      <c r="S7" s="58"/>
      <c r="T7" s="58"/>
      <c r="U7" s="38" t="s">
        <v>18</v>
      </c>
      <c r="V7" s="41" t="s">
        <v>19</v>
      </c>
      <c r="W7" s="47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</row>
    <row r="8" spans="1:263" s="3" customFormat="1" ht="30" customHeight="1" x14ac:dyDescent="0.25">
      <c r="A8" s="62"/>
      <c r="B8" s="43"/>
      <c r="C8" s="44"/>
      <c r="D8" s="43"/>
      <c r="E8" s="51"/>
      <c r="F8" s="51"/>
      <c r="G8" s="44"/>
      <c r="H8" s="39"/>
      <c r="I8" s="65"/>
      <c r="J8" s="53" t="s">
        <v>5</v>
      </c>
      <c r="K8" s="55" t="s">
        <v>6</v>
      </c>
      <c r="L8" s="55" t="s">
        <v>20</v>
      </c>
      <c r="M8" s="55" t="s">
        <v>21</v>
      </c>
      <c r="N8" s="55" t="s">
        <v>22</v>
      </c>
      <c r="O8" s="55" t="s">
        <v>23</v>
      </c>
      <c r="P8" s="59" t="s">
        <v>24</v>
      </c>
      <c r="Q8" s="59" t="s">
        <v>25</v>
      </c>
      <c r="R8" s="55" t="s">
        <v>26</v>
      </c>
      <c r="S8" s="55" t="s">
        <v>27</v>
      </c>
      <c r="T8" s="55" t="s">
        <v>28</v>
      </c>
      <c r="U8" s="39"/>
      <c r="V8" s="43"/>
      <c r="W8" s="48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</row>
    <row r="9" spans="1:263" s="4" customFormat="1" ht="30" customHeight="1" x14ac:dyDescent="0.25">
      <c r="A9" s="63"/>
      <c r="B9" s="45"/>
      <c r="C9" s="46"/>
      <c r="D9" s="45"/>
      <c r="E9" s="52"/>
      <c r="F9" s="52"/>
      <c r="G9" s="46"/>
      <c r="H9" s="40"/>
      <c r="I9" s="66"/>
      <c r="J9" s="54"/>
      <c r="K9" s="56"/>
      <c r="L9" s="56"/>
      <c r="M9" s="56"/>
      <c r="N9" s="56"/>
      <c r="O9" s="56"/>
      <c r="P9" s="60"/>
      <c r="Q9" s="60"/>
      <c r="R9" s="56"/>
      <c r="S9" s="56"/>
      <c r="T9" s="56"/>
      <c r="U9" s="40"/>
      <c r="V9" s="45"/>
      <c r="W9" s="49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</row>
    <row r="10" spans="1:263" s="4" customFormat="1" ht="30" customHeight="1" x14ac:dyDescent="0.25">
      <c r="A10" s="15">
        <v>1</v>
      </c>
      <c r="B10" s="77"/>
      <c r="C10" s="77"/>
      <c r="D10" s="78"/>
      <c r="E10" s="78"/>
      <c r="F10" s="78"/>
      <c r="G10" s="78"/>
      <c r="H10" s="26"/>
      <c r="I10" s="27" t="str">
        <f t="shared" ref="I10:I13" si="0">IF(H10&lt;&gt;"",IF(AND(H10&lt;=8,H10&gt;1),2,IF(AND(H10&gt;=9,H10&lt;=15),3,IF(AND(H10&gt;=16,H10&lt;=25),5,IF(AND(H10&gt;=26,H10&lt;=50),8,IF(AND(H10&gt;=51,H10&lt;=90),13,IF(AND(H10&gt;=91,H10&lt;=150),20,IF(AND(H10&gt;=151,H10&lt;=280),32,IF(AND(H10&gt;=281,H10&lt;=500),50,IF(AND(H10&gt;=501,H10&lt;=1200),80,IF(AND(H10&gt;=1201,H10&lt;=3200),125,IF(AND(H10&gt;=3201,H10&lt;=10000),200,IF(AND(H10&gt;=10001,H10&lt;=35000),315,IF(AND(H10&gt;=35001,H10&lt;=150000),500,IF(AND(H10&gt;=150001,H10&lt;=500000),800,IF(H10&gt;=500001,1250,0))))))))))))))),"")</f>
        <v/>
      </c>
      <c r="J10" s="29"/>
      <c r="K10" s="30"/>
      <c r="L10" s="30"/>
      <c r="M10" s="30"/>
      <c r="N10" s="30"/>
      <c r="O10" s="30"/>
      <c r="P10" s="30"/>
      <c r="Q10" s="30"/>
      <c r="R10" s="30"/>
      <c r="S10" s="30"/>
      <c r="T10" s="28"/>
      <c r="U10" s="28"/>
      <c r="V10" s="79"/>
      <c r="W10" s="80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</row>
    <row r="11" spans="1:263" s="4" customFormat="1" ht="30" customHeight="1" x14ac:dyDescent="0.25">
      <c r="A11" s="15">
        <v>2</v>
      </c>
      <c r="B11" s="77"/>
      <c r="C11" s="77"/>
      <c r="D11" s="78"/>
      <c r="E11" s="78"/>
      <c r="F11" s="78"/>
      <c r="G11" s="78"/>
      <c r="H11" s="26"/>
      <c r="I11" s="27" t="str">
        <f t="shared" si="0"/>
        <v/>
      </c>
      <c r="J11" s="29"/>
      <c r="K11" s="30"/>
      <c r="L11" s="30"/>
      <c r="M11" s="30"/>
      <c r="N11" s="30"/>
      <c r="O11" s="30"/>
      <c r="P11" s="30"/>
      <c r="Q11" s="30"/>
      <c r="R11" s="30"/>
      <c r="S11" s="30"/>
      <c r="T11" s="28"/>
      <c r="U11" s="28"/>
      <c r="V11" s="79"/>
      <c r="W11" s="80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</row>
    <row r="12" spans="1:263" s="4" customFormat="1" ht="30" customHeight="1" x14ac:dyDescent="0.25">
      <c r="A12" s="15">
        <v>3</v>
      </c>
      <c r="B12" s="77"/>
      <c r="C12" s="77"/>
      <c r="D12" s="78"/>
      <c r="E12" s="78"/>
      <c r="F12" s="78"/>
      <c r="G12" s="78"/>
      <c r="H12" s="26"/>
      <c r="I12" s="27" t="str">
        <f t="shared" si="0"/>
        <v/>
      </c>
      <c r="J12" s="29"/>
      <c r="K12" s="30"/>
      <c r="L12" s="30"/>
      <c r="M12" s="30"/>
      <c r="N12" s="30"/>
      <c r="O12" s="30"/>
      <c r="P12" s="30"/>
      <c r="Q12" s="30"/>
      <c r="R12" s="30"/>
      <c r="S12" s="30"/>
      <c r="T12" s="28"/>
      <c r="U12" s="28"/>
      <c r="V12" s="79"/>
      <c r="W12" s="80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</row>
    <row r="13" spans="1:263" s="4" customFormat="1" ht="30" customHeight="1" x14ac:dyDescent="0.25">
      <c r="A13" s="15">
        <v>4</v>
      </c>
      <c r="B13" s="77"/>
      <c r="C13" s="77"/>
      <c r="D13" s="78"/>
      <c r="E13" s="78"/>
      <c r="F13" s="78"/>
      <c r="G13" s="78"/>
      <c r="H13" s="26"/>
      <c r="I13" s="27" t="str">
        <f t="shared" si="0"/>
        <v/>
      </c>
      <c r="J13" s="29"/>
      <c r="K13" s="30"/>
      <c r="L13" s="30"/>
      <c r="M13" s="30"/>
      <c r="N13" s="30"/>
      <c r="O13" s="30"/>
      <c r="P13" s="30"/>
      <c r="Q13" s="30"/>
      <c r="R13" s="30"/>
      <c r="S13" s="30"/>
      <c r="T13" s="28"/>
      <c r="U13" s="28"/>
      <c r="V13" s="79"/>
      <c r="W13" s="80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</row>
    <row r="14" spans="1:263" s="4" customFormat="1" ht="30" customHeight="1" x14ac:dyDescent="0.25">
      <c r="A14" s="15">
        <v>5</v>
      </c>
      <c r="B14" s="77"/>
      <c r="C14" s="77"/>
      <c r="D14" s="78"/>
      <c r="E14" s="78"/>
      <c r="F14" s="78"/>
      <c r="G14" s="78"/>
      <c r="H14" s="26"/>
      <c r="I14" s="27" t="str">
        <f t="shared" ref="I14:I24" si="1">IF(H14&lt;&gt;"",IF(AND(H14&lt;=8,H14&gt;1),2,IF(AND(H14&gt;=9,H14&lt;=15),3,IF(AND(H14&gt;=16,H14&lt;=25),5,IF(AND(H14&gt;=26,H14&lt;=50),8,IF(AND(H14&gt;=51,H14&lt;=90),13,IF(AND(H14&gt;=91,H14&lt;=150),20,IF(AND(H14&gt;=151,H14&lt;=280),32,IF(AND(H14&gt;=281,H14&lt;=500),50,IF(AND(H14&gt;=501,H14&lt;=1200),80,IF(AND(H14&gt;=1201,H14&lt;=3200),125,IF(AND(H14&gt;=3201,H14&lt;=10000),200,IF(AND(H14&gt;=10001,H14&lt;=35000),315,IF(AND(H14&gt;=35001,H14&lt;=150000),500,IF(AND(H14&gt;=150001,H14&lt;=500000),800,IF(H14&gt;=500001,1250,0))))))))))))))),"")</f>
        <v/>
      </c>
      <c r="J14" s="29"/>
      <c r="K14" s="30"/>
      <c r="L14" s="30"/>
      <c r="M14" s="30"/>
      <c r="N14" s="30"/>
      <c r="O14" s="30"/>
      <c r="P14" s="30"/>
      <c r="Q14" s="30"/>
      <c r="R14" s="30"/>
      <c r="S14" s="30"/>
      <c r="T14" s="28"/>
      <c r="U14" s="28"/>
      <c r="V14" s="79"/>
      <c r="W14" s="80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</row>
    <row r="15" spans="1:263" s="4" customFormat="1" ht="30" customHeight="1" x14ac:dyDescent="0.25">
      <c r="A15" s="15">
        <v>6</v>
      </c>
      <c r="B15" s="77"/>
      <c r="C15" s="77"/>
      <c r="D15" s="78"/>
      <c r="E15" s="78"/>
      <c r="F15" s="78"/>
      <c r="G15" s="78"/>
      <c r="H15" s="26"/>
      <c r="I15" s="27" t="str">
        <f t="shared" si="1"/>
        <v/>
      </c>
      <c r="J15" s="29"/>
      <c r="K15" s="30"/>
      <c r="L15" s="30"/>
      <c r="M15" s="30"/>
      <c r="N15" s="30"/>
      <c r="O15" s="30"/>
      <c r="P15" s="30"/>
      <c r="Q15" s="30"/>
      <c r="R15" s="30"/>
      <c r="S15" s="30"/>
      <c r="T15" s="28"/>
      <c r="U15" s="28"/>
      <c r="V15" s="79"/>
      <c r="W15" s="80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</row>
    <row r="16" spans="1:263" s="4" customFormat="1" ht="30" customHeight="1" x14ac:dyDescent="0.25">
      <c r="A16" s="15">
        <v>7</v>
      </c>
      <c r="B16" s="77"/>
      <c r="C16" s="77"/>
      <c r="D16" s="78"/>
      <c r="E16" s="78"/>
      <c r="F16" s="78"/>
      <c r="G16" s="78"/>
      <c r="H16" s="26"/>
      <c r="I16" s="27" t="str">
        <f t="shared" si="1"/>
        <v/>
      </c>
      <c r="J16" s="29"/>
      <c r="K16" s="30"/>
      <c r="L16" s="30"/>
      <c r="M16" s="30"/>
      <c r="N16" s="30"/>
      <c r="O16" s="30"/>
      <c r="P16" s="30"/>
      <c r="Q16" s="30"/>
      <c r="R16" s="30"/>
      <c r="S16" s="30"/>
      <c r="T16" s="28"/>
      <c r="U16" s="28"/>
      <c r="V16" s="79"/>
      <c r="W16" s="80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</row>
    <row r="17" spans="1:98" s="4" customFormat="1" ht="30" customHeight="1" x14ac:dyDescent="0.25">
      <c r="A17" s="15">
        <v>8</v>
      </c>
      <c r="B17" s="77"/>
      <c r="C17" s="77"/>
      <c r="D17" s="78"/>
      <c r="E17" s="78"/>
      <c r="F17" s="78"/>
      <c r="G17" s="78"/>
      <c r="H17" s="26"/>
      <c r="I17" s="27" t="str">
        <f t="shared" si="1"/>
        <v/>
      </c>
      <c r="J17" s="29"/>
      <c r="K17" s="30"/>
      <c r="L17" s="30"/>
      <c r="M17" s="30"/>
      <c r="N17" s="30"/>
      <c r="O17" s="30"/>
      <c r="P17" s="30"/>
      <c r="Q17" s="30"/>
      <c r="R17" s="30"/>
      <c r="S17" s="30"/>
      <c r="T17" s="28"/>
      <c r="U17" s="28"/>
      <c r="V17" s="79"/>
      <c r="W17" s="80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</row>
    <row r="18" spans="1:98" s="4" customFormat="1" ht="30" customHeight="1" x14ac:dyDescent="0.25">
      <c r="A18" s="15">
        <v>9</v>
      </c>
      <c r="B18" s="77"/>
      <c r="C18" s="77"/>
      <c r="D18" s="78"/>
      <c r="E18" s="78"/>
      <c r="F18" s="78"/>
      <c r="G18" s="78"/>
      <c r="H18" s="26"/>
      <c r="I18" s="27" t="str">
        <f t="shared" si="1"/>
        <v/>
      </c>
      <c r="J18" s="29"/>
      <c r="K18" s="30"/>
      <c r="L18" s="30"/>
      <c r="M18" s="30"/>
      <c r="N18" s="30"/>
      <c r="O18" s="30"/>
      <c r="P18" s="30"/>
      <c r="Q18" s="30"/>
      <c r="R18" s="30"/>
      <c r="S18" s="30"/>
      <c r="T18" s="28"/>
      <c r="U18" s="28"/>
      <c r="V18" s="79"/>
      <c r="W18" s="80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</row>
    <row r="19" spans="1:98" s="4" customFormat="1" ht="30" customHeight="1" x14ac:dyDescent="0.25">
      <c r="A19" s="15">
        <v>10</v>
      </c>
      <c r="B19" s="77"/>
      <c r="C19" s="77"/>
      <c r="D19" s="78"/>
      <c r="E19" s="78"/>
      <c r="F19" s="78"/>
      <c r="G19" s="78"/>
      <c r="H19" s="26"/>
      <c r="I19" s="27" t="str">
        <f t="shared" si="1"/>
        <v/>
      </c>
      <c r="J19" s="29"/>
      <c r="K19" s="30"/>
      <c r="L19" s="30"/>
      <c r="M19" s="30"/>
      <c r="N19" s="30"/>
      <c r="O19" s="30"/>
      <c r="P19" s="30"/>
      <c r="Q19" s="30"/>
      <c r="R19" s="30"/>
      <c r="S19" s="30"/>
      <c r="T19" s="28"/>
      <c r="U19" s="28"/>
      <c r="V19" s="79"/>
      <c r="W19" s="80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</row>
    <row r="20" spans="1:98" s="4" customFormat="1" ht="30" customHeight="1" x14ac:dyDescent="0.25">
      <c r="A20" s="15">
        <v>11</v>
      </c>
      <c r="B20" s="77"/>
      <c r="C20" s="77"/>
      <c r="D20" s="78"/>
      <c r="E20" s="78"/>
      <c r="F20" s="78"/>
      <c r="G20" s="78"/>
      <c r="H20" s="26"/>
      <c r="I20" s="27" t="str">
        <f t="shared" si="1"/>
        <v/>
      </c>
      <c r="J20" s="29"/>
      <c r="K20" s="30"/>
      <c r="L20" s="30"/>
      <c r="M20" s="30"/>
      <c r="N20" s="30"/>
      <c r="O20" s="30"/>
      <c r="P20" s="30"/>
      <c r="Q20" s="30"/>
      <c r="R20" s="30"/>
      <c r="S20" s="30"/>
      <c r="T20" s="28"/>
      <c r="U20" s="28"/>
      <c r="V20" s="79"/>
      <c r="W20" s="80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</row>
    <row r="21" spans="1:98" s="4" customFormat="1" ht="30" customHeight="1" x14ac:dyDescent="0.25">
      <c r="A21" s="15">
        <v>12</v>
      </c>
      <c r="B21" s="77"/>
      <c r="C21" s="77"/>
      <c r="D21" s="78"/>
      <c r="E21" s="78"/>
      <c r="F21" s="78"/>
      <c r="G21" s="78"/>
      <c r="H21" s="26"/>
      <c r="I21" s="27" t="str">
        <f t="shared" si="1"/>
        <v/>
      </c>
      <c r="J21" s="29"/>
      <c r="K21" s="30"/>
      <c r="L21" s="30"/>
      <c r="M21" s="30"/>
      <c r="N21" s="30"/>
      <c r="O21" s="30"/>
      <c r="P21" s="30"/>
      <c r="Q21" s="30"/>
      <c r="R21" s="30"/>
      <c r="S21" s="30"/>
      <c r="T21" s="28"/>
      <c r="U21" s="28"/>
      <c r="V21" s="79"/>
      <c r="W21" s="80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</row>
    <row r="22" spans="1:98" s="4" customFormat="1" ht="30" customHeight="1" x14ac:dyDescent="0.25">
      <c r="A22" s="15">
        <v>13</v>
      </c>
      <c r="B22" s="77"/>
      <c r="C22" s="77"/>
      <c r="D22" s="78"/>
      <c r="E22" s="78"/>
      <c r="F22" s="78"/>
      <c r="G22" s="78"/>
      <c r="H22" s="26"/>
      <c r="I22" s="27" t="str">
        <f t="shared" si="1"/>
        <v/>
      </c>
      <c r="J22" s="29"/>
      <c r="K22" s="30"/>
      <c r="L22" s="30"/>
      <c r="M22" s="30"/>
      <c r="N22" s="30"/>
      <c r="O22" s="30"/>
      <c r="P22" s="30"/>
      <c r="Q22" s="30"/>
      <c r="R22" s="30"/>
      <c r="S22" s="30"/>
      <c r="T22" s="28"/>
      <c r="U22" s="28"/>
      <c r="V22" s="79"/>
      <c r="W22" s="80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</row>
    <row r="23" spans="1:98" s="4" customFormat="1" ht="30" customHeight="1" x14ac:dyDescent="0.25">
      <c r="A23" s="15">
        <v>14</v>
      </c>
      <c r="B23" s="77"/>
      <c r="C23" s="77"/>
      <c r="D23" s="78"/>
      <c r="E23" s="78"/>
      <c r="F23" s="78"/>
      <c r="G23" s="78"/>
      <c r="H23" s="26"/>
      <c r="I23" s="27" t="str">
        <f t="shared" si="1"/>
        <v/>
      </c>
      <c r="J23" s="29"/>
      <c r="K23" s="30"/>
      <c r="L23" s="30"/>
      <c r="M23" s="30"/>
      <c r="N23" s="30"/>
      <c r="O23" s="30"/>
      <c r="P23" s="30"/>
      <c r="Q23" s="30"/>
      <c r="R23" s="30"/>
      <c r="S23" s="30"/>
      <c r="T23" s="28"/>
      <c r="U23" s="28"/>
      <c r="V23" s="79"/>
      <c r="W23" s="80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</row>
    <row r="24" spans="1:98" s="4" customFormat="1" ht="30" customHeight="1" x14ac:dyDescent="0.25">
      <c r="A24" s="15">
        <v>15</v>
      </c>
      <c r="B24" s="77"/>
      <c r="C24" s="77"/>
      <c r="D24" s="78"/>
      <c r="E24" s="78"/>
      <c r="F24" s="78"/>
      <c r="G24" s="78"/>
      <c r="H24" s="26"/>
      <c r="I24" s="27" t="str">
        <f t="shared" si="1"/>
        <v/>
      </c>
      <c r="J24" s="29"/>
      <c r="K24" s="30"/>
      <c r="L24" s="30"/>
      <c r="M24" s="30"/>
      <c r="N24" s="30"/>
      <c r="O24" s="30"/>
      <c r="P24" s="30"/>
      <c r="Q24" s="30"/>
      <c r="R24" s="30"/>
      <c r="S24" s="30"/>
      <c r="T24" s="28"/>
      <c r="U24" s="28"/>
      <c r="V24" s="79"/>
      <c r="W24" s="80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</row>
    <row r="25" spans="1:98" s="4" customFormat="1" ht="36.75" customHeight="1" x14ac:dyDescent="0.25">
      <c r="A25" s="67" t="s">
        <v>29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9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</row>
    <row r="26" spans="1:98" s="3" customFormat="1" ht="30" customHeight="1" x14ac:dyDescent="0.25">
      <c r="A26" s="85" t="s">
        <v>30</v>
      </c>
      <c r="B26" s="50"/>
      <c r="C26" s="42"/>
      <c r="D26" s="41" t="s">
        <v>40</v>
      </c>
      <c r="E26" s="50"/>
      <c r="F26" s="50"/>
      <c r="G26" s="50"/>
      <c r="H26" s="50"/>
      <c r="I26" s="42"/>
      <c r="J26" s="70" t="s">
        <v>31</v>
      </c>
      <c r="K26" s="71"/>
      <c r="L26" s="57"/>
      <c r="M26" s="72"/>
      <c r="N26" s="72"/>
      <c r="O26" s="72"/>
      <c r="P26" s="72"/>
      <c r="Q26" s="72"/>
      <c r="R26" s="72"/>
      <c r="S26" s="70" t="s">
        <v>32</v>
      </c>
      <c r="T26" s="73"/>
      <c r="U26" s="74"/>
      <c r="V26" s="75"/>
      <c r="W26" s="76"/>
      <c r="X26" s="5"/>
      <c r="Y26" s="5"/>
      <c r="Z26" s="5"/>
      <c r="AA26" s="5"/>
      <c r="AB26" s="5"/>
      <c r="AC26" s="5"/>
    </row>
    <row r="27" spans="1:98" s="3" customFormat="1" ht="30" customHeight="1" x14ac:dyDescent="0.25">
      <c r="A27" s="86"/>
      <c r="B27" s="52"/>
      <c r="C27" s="46"/>
      <c r="D27" s="45"/>
      <c r="E27" s="52"/>
      <c r="F27" s="52"/>
      <c r="G27" s="52"/>
      <c r="H27" s="52"/>
      <c r="I27" s="46"/>
      <c r="J27" s="70" t="s">
        <v>33</v>
      </c>
      <c r="K27" s="71"/>
      <c r="L27" s="57"/>
      <c r="M27" s="72"/>
      <c r="N27" s="72"/>
      <c r="O27" s="72"/>
      <c r="P27" s="72"/>
      <c r="Q27" s="72"/>
      <c r="R27" s="72"/>
      <c r="S27" s="70" t="s">
        <v>34</v>
      </c>
      <c r="T27" s="73"/>
      <c r="U27" s="81"/>
      <c r="V27" s="75"/>
      <c r="W27" s="76"/>
      <c r="X27" s="5"/>
      <c r="Y27" s="5"/>
      <c r="Z27" s="5"/>
      <c r="AA27" s="5"/>
      <c r="AB27" s="5"/>
      <c r="AC27" s="5"/>
    </row>
    <row r="28" spans="1:98" ht="30" customHeight="1" x14ac:dyDescent="0.25">
      <c r="A28" s="82" t="s">
        <v>35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4"/>
    </row>
  </sheetData>
  <sheetProtection autoFilter="0" pivotTables="0"/>
  <mergeCells count="86">
    <mergeCell ref="Q8:Q9"/>
    <mergeCell ref="R8:R9"/>
    <mergeCell ref="S8:S9"/>
    <mergeCell ref="T8:T9"/>
    <mergeCell ref="C1:W1"/>
    <mergeCell ref="C2:W2"/>
    <mergeCell ref="I3:S3"/>
    <mergeCell ref="G4:P4"/>
    <mergeCell ref="G5:P5"/>
    <mergeCell ref="R4:S5"/>
    <mergeCell ref="V10:W10"/>
    <mergeCell ref="B11:C11"/>
    <mergeCell ref="D11:G11"/>
    <mergeCell ref="V11:W11"/>
    <mergeCell ref="B12:C12"/>
    <mergeCell ref="D12:G12"/>
    <mergeCell ref="V12:W12"/>
    <mergeCell ref="B10:C10"/>
    <mergeCell ref="D10:G10"/>
    <mergeCell ref="B13:C13"/>
    <mergeCell ref="D13:G13"/>
    <mergeCell ref="V13:W13"/>
    <mergeCell ref="B14:C14"/>
    <mergeCell ref="D14:G14"/>
    <mergeCell ref="V14:W14"/>
    <mergeCell ref="B15:C15"/>
    <mergeCell ref="D15:G15"/>
    <mergeCell ref="V15:W15"/>
    <mergeCell ref="B16:C16"/>
    <mergeCell ref="D16:G16"/>
    <mergeCell ref="V16:W16"/>
    <mergeCell ref="B17:C17"/>
    <mergeCell ref="D17:G17"/>
    <mergeCell ref="V17:W17"/>
    <mergeCell ref="B18:C18"/>
    <mergeCell ref="D18:G18"/>
    <mergeCell ref="V18:W18"/>
    <mergeCell ref="V21:W21"/>
    <mergeCell ref="B22:C22"/>
    <mergeCell ref="D22:G22"/>
    <mergeCell ref="V22:W22"/>
    <mergeCell ref="B19:C19"/>
    <mergeCell ref="D19:G19"/>
    <mergeCell ref="V19:W19"/>
    <mergeCell ref="B20:C20"/>
    <mergeCell ref="D20:G20"/>
    <mergeCell ref="V20:W20"/>
    <mergeCell ref="J27:L27"/>
    <mergeCell ref="M27:R27"/>
    <mergeCell ref="S27:T27"/>
    <mergeCell ref="U27:W27"/>
    <mergeCell ref="A28:W28"/>
    <mergeCell ref="A26:C27"/>
    <mergeCell ref="D26:I27"/>
    <mergeCell ref="A7:A9"/>
    <mergeCell ref="H7:H9"/>
    <mergeCell ref="I7:I9"/>
    <mergeCell ref="A25:W25"/>
    <mergeCell ref="J26:L26"/>
    <mergeCell ref="M26:R26"/>
    <mergeCell ref="S26:T26"/>
    <mergeCell ref="U26:W26"/>
    <mergeCell ref="B23:C23"/>
    <mergeCell ref="D23:G23"/>
    <mergeCell ref="V23:W23"/>
    <mergeCell ref="B24:C24"/>
    <mergeCell ref="D24:G24"/>
    <mergeCell ref="V24:W24"/>
    <mergeCell ref="B21:C21"/>
    <mergeCell ref="D21:G21"/>
    <mergeCell ref="A1:B2"/>
    <mergeCell ref="A4:E5"/>
    <mergeCell ref="U7:U9"/>
    <mergeCell ref="B7:C9"/>
    <mergeCell ref="V7:W9"/>
    <mergeCell ref="D7:G9"/>
    <mergeCell ref="J8:J9"/>
    <mergeCell ref="K8:K9"/>
    <mergeCell ref="J7:N7"/>
    <mergeCell ref="O7:Q7"/>
    <mergeCell ref="R7:T7"/>
    <mergeCell ref="L8:L9"/>
    <mergeCell ref="M8:M9"/>
    <mergeCell ref="N8:N9"/>
    <mergeCell ref="O8:O9"/>
    <mergeCell ref="P8:P9"/>
  </mergeCells>
  <phoneticPr fontId="29" type="noConversion"/>
  <printOptions horizontalCentered="1"/>
  <pageMargins left="0.21875" right="0" top="0.36875000000000002" bottom="0" header="0" footer="0"/>
  <pageSetup paperSize="9" scale="7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COA</vt:lpstr>
      <vt:lpstr>COA!Print_Area</vt:lpstr>
    </vt:vector>
  </TitlesOfParts>
  <Company>APTAR (SU ZHOU) DISPENDING CO.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MOUNDING DEPT</dc:creator>
  <cp:lastModifiedBy>TJ-QA-01</cp:lastModifiedBy>
  <cp:lastPrinted>2025-05-27T12:30:00Z</cp:lastPrinted>
  <dcterms:created xsi:type="dcterms:W3CDTF">1996-11-05T15:58:00Z</dcterms:created>
  <dcterms:modified xsi:type="dcterms:W3CDTF">2025-12-10T07:11:44Z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2052-8.1.0.0</vt:lpwstr>
  </property>
  <property fmtid="{D5CDD505-2E9C-101B-9397-08002B2CF9AE}" pid="3" name="ICV">
    <vt:lpwstr>C6322BBBA5DC4E72806A456A17A1C238_13</vt:lpwstr>
  </property>
</Properties>
</file>